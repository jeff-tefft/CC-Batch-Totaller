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tefft\Desktop\for attach\Temp\temp\"/>
    </mc:Choice>
  </mc:AlternateContent>
  <xr:revisionPtr revIDLastSave="0" documentId="13_ncr:1_{6AF5E4A1-B687-4498-90D9-6D00C86FBA57}" xr6:coauthVersionLast="36" xr6:coauthVersionMax="36" xr10:uidLastSave="{00000000-0000-0000-0000-000000000000}"/>
  <bookViews>
    <workbookView xWindow="0" yWindow="0" windowWidth="17970" windowHeight="5520" tabRatio="1000" xr2:uid="{00000000-000D-0000-FFFF-FFFF00000000}"/>
  </bookViews>
  <sheets>
    <sheet name="CC to QB" sheetId="9" r:id="rId1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</workbook>
</file>

<file path=xl/calcChain.xml><?xml version="1.0" encoding="utf-8"?>
<calcChain xmlns="http://schemas.openxmlformats.org/spreadsheetml/2006/main">
  <c r="D28" i="9" l="1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D32" i="9" l="1"/>
  <c r="D31" i="9"/>
  <c r="D30" i="9"/>
  <c r="D29" i="9"/>
  <c r="B34" i="9" l="1"/>
  <c r="B38" i="9" l="1"/>
  <c r="B40" i="9" s="1"/>
  <c r="C34" i="9" l="1"/>
  <c r="D34" i="9" l="1"/>
</calcChain>
</file>

<file path=xl/sharedStrings.xml><?xml version="1.0" encoding="utf-8"?>
<sst xmlns="http://schemas.openxmlformats.org/spreadsheetml/2006/main" count="10" uniqueCount="10">
  <si>
    <t>Discrepancy</t>
  </si>
  <si>
    <t xml:space="preserve"> </t>
  </si>
  <si>
    <t>Batch #</t>
  </si>
  <si>
    <t>Received Funds</t>
  </si>
  <si>
    <t>Refunds</t>
  </si>
  <si>
    <t>Batch Total</t>
  </si>
  <si>
    <t>TOTAL HL</t>
  </si>
  <si>
    <t>QB Month Total</t>
  </si>
  <si>
    <t>Less: Gift Certs</t>
  </si>
  <si>
    <t>QB Month 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</si>
</sst>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23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44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/>
    <xf numFmtId="44" fontId="4" fillId="0" borderId="3" xfId="22" applyFont="1" applyBorder="1"/>
    <xf numFmtId="0" fontId="4" fillId="0" borderId="0" xfId="0" applyFont="1"/>
    <xf numFmtId="44" fontId="4" fillId="0" borderId="0" xfId="22" applyFont="1"/>
    <xf numFmtId="44" fontId="4" fillId="0" borderId="0" xfId="22" applyFont="1" applyFill="1"/>
    <xf numFmtId="44" fontId="4" fillId="0" borderId="3" xfId="22" applyFont="1" applyFill="1" applyBorder="1"/>
    <xf numFmtId="0" fontId="0" fillId="0" borderId="0" xfId="0"/>
    <xf numFmtId="0" fontId="0" fillId="0" borderId="0" xfId="0"/>
    <xf numFmtId="0" fontId="5" fillId="0" borderId="0" xfId="0" applyFont="1"/>
    <xf numFmtId="0" fontId="0" fillId="0" borderId="0" xfId="0"/>
    <xf numFmtId="0" fontId="0" fillId="0" borderId="0" xfId="0" applyFill="1"/>
    <xf numFmtId="0" fontId="4" fillId="0" borderId="0" xfId="0" applyFont="1" applyFill="1"/>
    <xf numFmtId="44" fontId="0" fillId="0" borderId="0" xfId="0" applyNumberFormat="1" applyFill="1"/>
    <xf numFmtId="0" fontId="4" fillId="0" borderId="0" xfId="0" applyFont="1"/>
    <xf numFmtId="0" fontId="0" fillId="0" borderId="0" xfId="0"/>
    <xf numFmtId="0" fontId="0" fillId="0" borderId="0" xfId="0"/>
    <xf numFmtId="44" fontId="0" fillId="0" borderId="0" xfId="22" applyFont="1"/>
    <xf numFmtId="0" fontId="4" fillId="0" borderId="0" xfId="0" applyFont="1"/>
    <xf numFmtId="0" fontId="6" fillId="0" borderId="0" xfId="0" applyFont="1"/>
    <xf numFmtId="44" fontId="5" fillId="0" borderId="1" xfId="22" applyFont="1" applyBorder="1"/>
    <xf numFmtId="44" fontId="5" fillId="0" borderId="0" xfId="22" applyFont="1"/>
    <xf numFmtId="44" fontId="5" fillId="0" borderId="2" xfId="22" applyFont="1" applyBorder="1"/>
    <xf numFmtId="44" fontId="4" fillId="0" borderId="0" xfId="0" applyNumberFormat="1" applyFont="1"/>
    <xf numFmtId="44" fontId="4" fillId="0" borderId="0" xfId="22" applyFont="1" applyBorder="1"/>
    <xf numFmtId="0" fontId="5" fillId="0" borderId="0" xfId="0" applyFont="1" applyFill="1"/>
  </cellXfs>
  <cellStyles count="23">
    <cellStyle name="Currency" xfId="22" builtinId="4"/>
    <cellStyle name="Normal" xfId="0" builtinId="0"/>
    <cellStyle name="Normal 10" xfId="9" xr:uid="{00000000-0005-0000-0000-000003000000}"/>
    <cellStyle name="Normal 11" xfId="10" xr:uid="{00000000-0005-0000-0000-000004000000}"/>
    <cellStyle name="Normal 12" xfId="11" xr:uid="{00000000-0005-0000-0000-000005000000}"/>
    <cellStyle name="Normal 13" xfId="12" xr:uid="{00000000-0005-0000-0000-000006000000}"/>
    <cellStyle name="Normal 14" xfId="13" xr:uid="{00000000-0005-0000-0000-000007000000}"/>
    <cellStyle name="Normal 15" xfId="14" xr:uid="{00000000-0005-0000-0000-000008000000}"/>
    <cellStyle name="Normal 16" xfId="15" xr:uid="{00000000-0005-0000-0000-000009000000}"/>
    <cellStyle name="Normal 17" xfId="16" xr:uid="{00000000-0005-0000-0000-00000A000000}"/>
    <cellStyle name="Normal 18" xfId="17" xr:uid="{00000000-0005-0000-0000-00000B000000}"/>
    <cellStyle name="Normal 19" xfId="18" xr:uid="{00000000-0005-0000-0000-00000C000000}"/>
    <cellStyle name="Normal 2" xfId="1" xr:uid="{00000000-0005-0000-0000-00000D000000}"/>
    <cellStyle name="Normal 20" xfId="19" xr:uid="{00000000-0005-0000-0000-00000E000000}"/>
    <cellStyle name="Normal 21" xfId="20" xr:uid="{00000000-0005-0000-0000-00000F000000}"/>
    <cellStyle name="Normal 22" xfId="21" xr:uid="{00000000-0005-0000-0000-000010000000}"/>
    <cellStyle name="Normal 3" xfId="2" xr:uid="{00000000-0005-0000-0000-000011000000}"/>
    <cellStyle name="Normal 4" xfId="3" xr:uid="{00000000-0005-0000-0000-000012000000}"/>
    <cellStyle name="Normal 5" xfId="4" xr:uid="{00000000-0005-0000-0000-000013000000}"/>
    <cellStyle name="Normal 6" xfId="5" xr:uid="{00000000-0005-0000-0000-000014000000}"/>
    <cellStyle name="Normal 7" xfId="6" xr:uid="{00000000-0005-0000-0000-000015000000}"/>
    <cellStyle name="Normal 8" xfId="7" xr:uid="{00000000-0005-0000-0000-000016000000}"/>
    <cellStyle name="Normal 9" xfId="8" xr:uid="{00000000-0005-0000-0000-00001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95250</xdr:rowOff>
        </xdr:from>
        <xdr:to>
          <xdr:col>9</xdr:col>
          <xdr:colOff>66675</xdr:colOff>
          <xdr:row>6</xdr:row>
          <xdr:rowOff>142875</xdr:rowOff>
        </xdr:to>
        <xdr:sp macro="" textlink="">
          <xdr:nvSpPr>
            <xdr:cNvPr id="3073" name="PullData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G42"/>
  <sheetViews>
    <sheetView tabSelected="1" zoomScale="85" zoomScaleNormal="85" workbookViewId="0">
      <selection activeCell="F21" sqref="F21"/>
    </sheetView>
  </sheetViews>
  <sheetFormatPr defaultRowHeight="15" x14ac:dyDescent="0.25"/>
  <cols>
    <col min="1" max="1" width="14.85546875" style="14" bestFit="1" customWidth="1"/>
    <col min="2" max="2" width="15.140625" style="14" bestFit="1" customWidth="1"/>
    <col min="3" max="3" width="12.28515625" bestFit="1" customWidth="1"/>
    <col min="4" max="4" width="12.7109375" style="3" bestFit="1" customWidth="1"/>
    <col min="5" max="5" width="9.140625" style="11"/>
    <col min="6" max="6" width="12.5703125" style="17" bestFit="1" customWidth="1"/>
  </cols>
  <sheetData>
    <row r="1" spans="1:6" x14ac:dyDescent="0.25">
      <c r="A1" s="9" t="s">
        <v>2</v>
      </c>
      <c r="B1" s="25" t="s">
        <v>3</v>
      </c>
      <c r="C1" s="25" t="s">
        <v>4</v>
      </c>
      <c r="D1" s="9" t="s">
        <v>5</v>
      </c>
    </row>
    <row r="2" spans="1:6" x14ac:dyDescent="0.25">
      <c r="A2">
        <v>776</v>
      </c>
      <c r="B2">
        <v>30</v>
      </c>
      <c r="C2">
        <v>0</v>
      </c>
      <c r="D2" s="5">
        <f>SUM(B2:C2)</f>
        <v>30</v>
      </c>
    </row>
    <row r="3" spans="1:6" s="7" customFormat="1" x14ac:dyDescent="0.25">
      <c r="A3">
        <v>777</v>
      </c>
      <c r="B3">
        <v>44</v>
      </c>
      <c r="C3">
        <v>-5</v>
      </c>
      <c r="D3" s="5">
        <f>SUM(B3:C3)</f>
        <v>39</v>
      </c>
      <c r="E3" s="11"/>
      <c r="F3" s="17"/>
    </row>
    <row r="4" spans="1:6" s="7" customFormat="1" x14ac:dyDescent="0.25">
      <c r="A4">
        <v>778</v>
      </c>
      <c r="B4">
        <v>560</v>
      </c>
      <c r="C4">
        <v>0</v>
      </c>
      <c r="D4" s="5">
        <f>SUM(B4:C4)</f>
        <v>560</v>
      </c>
      <c r="E4" s="11"/>
      <c r="F4" s="17"/>
    </row>
    <row r="5" spans="1:6" s="7" customFormat="1" x14ac:dyDescent="0.25">
      <c r="A5">
        <v>779</v>
      </c>
      <c r="B5">
        <v>520</v>
      </c>
      <c r="C5">
        <v>-125</v>
      </c>
      <c r="D5" s="5">
        <f>SUM(B5:C5)</f>
        <v>395</v>
      </c>
      <c r="E5" s="11"/>
      <c r="F5" s="17"/>
    </row>
    <row r="6" spans="1:6" s="1" customFormat="1" x14ac:dyDescent="0.25">
      <c r="A6">
        <v>780</v>
      </c>
      <c r="B6">
        <v>1172</v>
      </c>
      <c r="C6">
        <v>0</v>
      </c>
      <c r="D6" s="5">
        <f>SUM(B6:C6)</f>
        <v>1172</v>
      </c>
      <c r="E6" s="11"/>
      <c r="F6" s="17"/>
    </row>
    <row r="7" spans="1:6" x14ac:dyDescent="0.25">
      <c r="A7">
        <v>781</v>
      </c>
      <c r="B7">
        <v>115</v>
      </c>
      <c r="C7">
        <v>0</v>
      </c>
      <c r="D7" s="5">
        <f>SUM(B7:C7)</f>
        <v>115</v>
      </c>
    </row>
    <row r="8" spans="1:6" x14ac:dyDescent="0.25">
      <c r="A8">
        <v>782</v>
      </c>
      <c r="B8">
        <v>2700</v>
      </c>
      <c r="C8">
        <v>0</v>
      </c>
      <c r="D8" s="5">
        <f>SUM(B8:C8)</f>
        <v>2700</v>
      </c>
    </row>
    <row r="9" spans="1:6" x14ac:dyDescent="0.25">
      <c r="A9">
        <v>783</v>
      </c>
      <c r="B9">
        <v>489</v>
      </c>
      <c r="C9">
        <v>0</v>
      </c>
      <c r="D9" s="5">
        <f>SUM(B9:C9)</f>
        <v>489</v>
      </c>
    </row>
    <row r="10" spans="1:6" x14ac:dyDescent="0.25">
      <c r="A10">
        <v>784</v>
      </c>
      <c r="B10">
        <v>2731</v>
      </c>
      <c r="C10">
        <v>-674</v>
      </c>
      <c r="D10" s="5">
        <f>SUM(B10:C10)</f>
        <v>2057</v>
      </c>
    </row>
    <row r="11" spans="1:6" x14ac:dyDescent="0.25">
      <c r="A11">
        <v>785</v>
      </c>
      <c r="B11">
        <v>447</v>
      </c>
      <c r="C11">
        <v>0</v>
      </c>
      <c r="D11" s="5">
        <f>SUM(B11:C11)</f>
        <v>447</v>
      </c>
    </row>
    <row r="12" spans="1:6" x14ac:dyDescent="0.25">
      <c r="A12">
        <v>786</v>
      </c>
      <c r="B12">
        <v>587</v>
      </c>
      <c r="C12">
        <v>-55</v>
      </c>
      <c r="D12" s="5">
        <f>SUM(B12:C12)</f>
        <v>532</v>
      </c>
    </row>
    <row r="13" spans="1:6" x14ac:dyDescent="0.25">
      <c r="A13">
        <v>787</v>
      </c>
      <c r="B13">
        <v>133</v>
      </c>
      <c r="C13">
        <v>0</v>
      </c>
      <c r="D13" s="5">
        <f>SUM(B13:C13)</f>
        <v>133</v>
      </c>
    </row>
    <row r="14" spans="1:6" x14ac:dyDescent="0.25">
      <c r="A14">
        <v>788</v>
      </c>
      <c r="B14">
        <v>47</v>
      </c>
      <c r="C14">
        <v>0</v>
      </c>
      <c r="D14" s="5">
        <f>SUM(B14:C14)</f>
        <v>47</v>
      </c>
    </row>
    <row r="15" spans="1:6" x14ac:dyDescent="0.25">
      <c r="A15">
        <v>789</v>
      </c>
      <c r="B15">
        <v>194</v>
      </c>
      <c r="C15">
        <v>0</v>
      </c>
      <c r="D15" s="5">
        <f>SUM(B15:C15)</f>
        <v>194</v>
      </c>
    </row>
    <row r="16" spans="1:6" x14ac:dyDescent="0.25">
      <c r="A16">
        <v>790</v>
      </c>
      <c r="B16">
        <v>825</v>
      </c>
      <c r="C16">
        <v>-210</v>
      </c>
      <c r="D16" s="5">
        <f>SUM(B16:C16)</f>
        <v>615</v>
      </c>
    </row>
    <row r="17" spans="1:6" x14ac:dyDescent="0.25">
      <c r="A17">
        <v>791</v>
      </c>
      <c r="B17">
        <v>477</v>
      </c>
      <c r="C17">
        <v>0</v>
      </c>
      <c r="D17" s="5">
        <f>SUM(B17:C17)</f>
        <v>477</v>
      </c>
    </row>
    <row r="18" spans="1:6" x14ac:dyDescent="0.25">
      <c r="A18">
        <v>792</v>
      </c>
      <c r="B18">
        <v>729</v>
      </c>
      <c r="C18">
        <v>-104</v>
      </c>
      <c r="D18" s="5">
        <f>SUM(B18:C18)</f>
        <v>625</v>
      </c>
    </row>
    <row r="19" spans="1:6" x14ac:dyDescent="0.25">
      <c r="A19">
        <v>793</v>
      </c>
      <c r="B19">
        <v>252</v>
      </c>
      <c r="C19">
        <v>-40</v>
      </c>
      <c r="D19" s="5">
        <f>SUM(B19:C19)</f>
        <v>212</v>
      </c>
    </row>
    <row r="20" spans="1:6" x14ac:dyDescent="0.25">
      <c r="A20">
        <v>794</v>
      </c>
      <c r="B20">
        <v>1573</v>
      </c>
      <c r="C20">
        <v>0</v>
      </c>
      <c r="D20" s="5">
        <f>SUM(B20:C20)</f>
        <v>1573</v>
      </c>
    </row>
    <row r="21" spans="1:6" x14ac:dyDescent="0.25">
      <c r="A21">
        <v>795</v>
      </c>
      <c r="B21">
        <v>1155</v>
      </c>
      <c r="C21">
        <v>-510</v>
      </c>
      <c r="D21" s="5">
        <f>SUM(B21:C21)</f>
        <v>645</v>
      </c>
    </row>
    <row r="22" spans="1:6" x14ac:dyDescent="0.25">
      <c r="A22">
        <v>796</v>
      </c>
      <c r="B22">
        <v>105</v>
      </c>
      <c r="C22">
        <v>0</v>
      </c>
      <c r="D22" s="5">
        <f>SUM(B22:C22)</f>
        <v>105</v>
      </c>
    </row>
    <row r="23" spans="1:6" x14ac:dyDescent="0.25">
      <c r="A23">
        <v>797</v>
      </c>
      <c r="B23">
        <v>140</v>
      </c>
      <c r="C23">
        <v>-55</v>
      </c>
      <c r="D23" s="5">
        <f>SUM(B23:C23)</f>
        <v>85</v>
      </c>
    </row>
    <row r="24" spans="1:6" x14ac:dyDescent="0.25">
      <c r="A24">
        <v>798</v>
      </c>
      <c r="B24">
        <v>105</v>
      </c>
      <c r="C24">
        <v>0</v>
      </c>
      <c r="D24" s="5">
        <f>SUM(B24:C24)</f>
        <v>105</v>
      </c>
    </row>
    <row r="25" spans="1:6" x14ac:dyDescent="0.25">
      <c r="A25">
        <v>799</v>
      </c>
      <c r="B25">
        <v>54</v>
      </c>
      <c r="C25">
        <v>0</v>
      </c>
      <c r="D25" s="5">
        <f>SUM(B25:C25)</f>
        <v>54</v>
      </c>
    </row>
    <row r="26" spans="1:6" x14ac:dyDescent="0.25">
      <c r="A26">
        <v>800</v>
      </c>
      <c r="B26">
        <v>98</v>
      </c>
      <c r="C26">
        <v>-35</v>
      </c>
      <c r="D26" s="5">
        <f>SUM(B26:C26)</f>
        <v>63</v>
      </c>
    </row>
    <row r="27" spans="1:6" x14ac:dyDescent="0.25">
      <c r="A27">
        <v>801</v>
      </c>
      <c r="B27">
        <v>105</v>
      </c>
      <c r="C27">
        <v>0</v>
      </c>
      <c r="D27" s="5">
        <f>SUM(B27:C27)</f>
        <v>105</v>
      </c>
      <c r="E27" s="12"/>
    </row>
    <row r="28" spans="1:6" x14ac:dyDescent="0.25">
      <c r="A28">
        <v>802</v>
      </c>
      <c r="B28">
        <v>12</v>
      </c>
      <c r="C28">
        <v>0</v>
      </c>
      <c r="D28" s="5">
        <f>SUM(B28:C28)</f>
        <v>12</v>
      </c>
      <c r="E28" s="13"/>
    </row>
    <row r="29" spans="1:6" s="8" customFormat="1" x14ac:dyDescent="0.25">
      <c r="A29"/>
      <c r="B29"/>
      <c r="C29"/>
      <c r="D29" s="5">
        <f t="shared" ref="D29:D32" si="0">SUM(B29:C29)</f>
        <v>0</v>
      </c>
      <c r="E29" s="13"/>
      <c r="F29" s="17"/>
    </row>
    <row r="30" spans="1:6" x14ac:dyDescent="0.25">
      <c r="A30"/>
      <c r="B30"/>
      <c r="D30" s="5">
        <f t="shared" si="0"/>
        <v>0</v>
      </c>
    </row>
    <row r="31" spans="1:6" s="16" customFormat="1" x14ac:dyDescent="0.25">
      <c r="A31"/>
      <c r="B31"/>
      <c r="C31"/>
      <c r="D31" s="5">
        <f t="shared" si="0"/>
        <v>0</v>
      </c>
      <c r="E31" s="11"/>
      <c r="F31" s="17" t="s">
        <v>1</v>
      </c>
    </row>
    <row r="32" spans="1:6" s="10" customFormat="1" x14ac:dyDescent="0.25">
      <c r="A32"/>
      <c r="B32"/>
      <c r="C32"/>
      <c r="D32" s="5">
        <f t="shared" si="0"/>
        <v>0</v>
      </c>
      <c r="E32" s="11"/>
      <c r="F32" s="17"/>
    </row>
    <row r="33" spans="1:7" x14ac:dyDescent="0.25">
      <c r="B33" s="4"/>
      <c r="C33" s="6"/>
      <c r="D33" s="2"/>
    </row>
    <row r="34" spans="1:7" ht="15.75" thickBot="1" x14ac:dyDescent="0.3">
      <c r="A34" s="9" t="s">
        <v>6</v>
      </c>
      <c r="B34" s="20">
        <f>SUM(B2:B33)</f>
        <v>15399</v>
      </c>
      <c r="C34" s="21">
        <f>SUM(C2:C33)</f>
        <v>-1813</v>
      </c>
      <c r="D34" s="21">
        <f>SUM(D2:D33)</f>
        <v>13586</v>
      </c>
      <c r="E34" s="12"/>
    </row>
    <row r="35" spans="1:7" ht="15.75" thickTop="1" x14ac:dyDescent="0.25">
      <c r="B35" s="18"/>
      <c r="C35" s="19"/>
      <c r="D35" s="19"/>
      <c r="E35" s="12"/>
      <c r="F35" s="4"/>
      <c r="G35" s="3"/>
    </row>
    <row r="36" spans="1:7" x14ac:dyDescent="0.25">
      <c r="A36" s="14" t="s">
        <v>9</v>
      </c>
      <c r="B36" s="24">
        <v>15949</v>
      </c>
      <c r="C36" s="19"/>
      <c r="D36" s="19"/>
      <c r="E36" s="12"/>
      <c r="F36" s="4"/>
      <c r="G36" s="3"/>
    </row>
    <row r="37" spans="1:7" s="15" customFormat="1" x14ac:dyDescent="0.25">
      <c r="A37" s="14" t="s">
        <v>8</v>
      </c>
      <c r="B37" s="2">
        <v>-550</v>
      </c>
      <c r="C37" s="19"/>
      <c r="D37" s="19"/>
      <c r="E37" s="12"/>
      <c r="F37" s="4"/>
      <c r="G37" s="14"/>
    </row>
    <row r="38" spans="1:7" s="1" customFormat="1" ht="15.75" thickBot="1" x14ac:dyDescent="0.3">
      <c r="A38" s="9" t="s">
        <v>7</v>
      </c>
      <c r="B38" s="22">
        <f>SUM(B36:B37)</f>
        <v>15399</v>
      </c>
      <c r="C38" s="19"/>
      <c r="D38" s="19"/>
      <c r="E38" s="12"/>
      <c r="F38" s="4"/>
      <c r="G38" s="3"/>
    </row>
    <row r="39" spans="1:7" ht="15.75" thickTop="1" x14ac:dyDescent="0.25">
      <c r="B39" s="18"/>
      <c r="C39" s="19"/>
      <c r="D39" s="19"/>
      <c r="E39" s="12"/>
      <c r="F39" s="4"/>
      <c r="G39" s="3"/>
    </row>
    <row r="40" spans="1:7" x14ac:dyDescent="0.25">
      <c r="A40" s="14" t="s">
        <v>0</v>
      </c>
      <c r="B40" s="23">
        <f>B34-B38</f>
        <v>0</v>
      </c>
      <c r="C40" s="19"/>
      <c r="D40" s="19"/>
      <c r="E40" s="12"/>
      <c r="F40" s="4"/>
      <c r="G40" s="3"/>
    </row>
    <row r="41" spans="1:7" x14ac:dyDescent="0.25">
      <c r="B41" s="18"/>
      <c r="C41" s="3"/>
      <c r="E41" s="12"/>
      <c r="F41" s="4"/>
      <c r="G41" s="3"/>
    </row>
    <row r="42" spans="1:7" x14ac:dyDescent="0.25">
      <c r="B42" s="18"/>
      <c r="C42" s="3"/>
      <c r="E42" s="12"/>
      <c r="F42" s="4"/>
      <c r="G42" s="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PullDataButton">
          <controlPr defaultSize="0" autoLine="0" r:id="rId5">
            <anchor moveWithCells="1">
              <from>
                <xdr:col>5</xdr:col>
                <xdr:colOff>66675</xdr:colOff>
                <xdr:row>1</xdr:row>
                <xdr:rowOff>95250</xdr:rowOff>
              </from>
              <to>
                <xdr:col>9</xdr:col>
                <xdr:colOff>66675</xdr:colOff>
                <xdr:row>6</xdr:row>
                <xdr:rowOff>142875</xdr:rowOff>
              </to>
            </anchor>
          </controlPr>
        </control>
      </mc:Choice>
      <mc:Fallback>
        <control shapeId="3073" r:id="rId4" name="PullData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CC to QB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Juliann Hudson</dc:creator>
  <cp:lastModifiedBy>Jeffrey Tefft</cp:lastModifiedBy>
  <cp:lastPrinted>2020-07-06T18:32:33Z</cp:lastPrinted>
  <dcterms:created xsi:type="dcterms:W3CDTF">2019-03-15T15:27:27Z</dcterms:created>
  <dcterms:modified xsi:type="dcterms:W3CDTF">2024-05-02T21:20:50Z</dcterms:modified>
</cp:coreProperties>
</file>